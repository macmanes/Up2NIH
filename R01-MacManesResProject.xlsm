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317" codeName="{8C4F1C90-05EB-6A55-5F09-09C24B55AC0B}"/>
  <workbookPr codeName="ThisWorkbook" autoCompressPictures="0"/>
  <bookViews>
    <workbookView xWindow="0" yWindow="0" windowWidth="25600" windowHeight="1606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B12" i="12"/>
  <c r="I12" i="12"/>
  <c r="J12" i="12"/>
  <c r="K12" i="12"/>
  <c r="L12"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1" i="12"/>
  <c r="N46" i="12"/>
  <c r="N45" i="12"/>
  <c r="N44" i="12"/>
  <c r="N43" i="12"/>
  <c r="I42" i="12"/>
  <c r="J42" i="12"/>
  <c r="K42" i="12"/>
  <c r="L42" i="12"/>
  <c r="M42" i="12"/>
  <c r="N42" i="12"/>
  <c r="N41" i="12"/>
  <c r="N40" i="12"/>
  <c r="N39" i="12"/>
  <c r="N38" i="12"/>
  <c r="N37" i="12"/>
  <c r="N36" i="12"/>
  <c r="N35" i="12"/>
  <c r="N34" i="12"/>
  <c r="N33" i="12"/>
  <c r="N32" i="12"/>
  <c r="N20" i="12"/>
  <c r="J28" i="12"/>
  <c r="K28" i="12"/>
  <c r="L28" i="12"/>
  <c r="M28" i="12"/>
  <c r="I26" i="12"/>
  <c r="J26" i="12"/>
  <c r="K26" i="12"/>
  <c r="L26" i="12"/>
  <c r="M26" i="12"/>
  <c r="J27" i="12"/>
  <c r="K27" i="12"/>
  <c r="L27" i="12"/>
  <c r="M27" i="12"/>
  <c r="I25" i="12"/>
  <c r="J25" i="12"/>
  <c r="J22" i="12"/>
  <c r="J23" i="12"/>
  <c r="H18" i="12"/>
  <c r="B18" i="12"/>
  <c r="I18" i="12"/>
  <c r="H17" i="12"/>
  <c r="B17" i="12"/>
  <c r="H16" i="12"/>
  <c r="B16" i="12"/>
  <c r="I16" i="12"/>
  <c r="H15" i="12"/>
  <c r="B15" i="12"/>
  <c r="I15" i="12"/>
  <c r="H14" i="12"/>
  <c r="B14" i="12"/>
  <c r="H13" i="12"/>
  <c r="B13"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<sst xmlns="http://schemas.openxmlformats.org/spreadsheetml/2006/main" count="557" uniqueCount="199">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</sst>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amily val="2"/>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1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17">
    <cellStyle name="Comma" xfId="1" builtinId="3"/>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21" sqref="B21"/>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197</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0.04</v>
      </c>
    </row>
    <row r="15" spans="1:2">
      <c r="A15" s="94" t="s">
        <v>41</v>
      </c>
    </row>
    <row r="16" spans="1:2">
      <c r="A16" s="95" t="s">
        <v>54</v>
      </c>
      <c r="B16" s="101">
        <v>42705</v>
      </c>
    </row>
    <row r="17" spans="1:7" ht="23" customHeight="1">
      <c r="A17" s="95" t="s">
        <v>148</v>
      </c>
      <c r="B17" s="100">
        <v>5</v>
      </c>
    </row>
    <row r="18" spans="1:7">
      <c r="A18" s="95" t="s">
        <v>57</v>
      </c>
      <c r="B18" s="100">
        <v>1</v>
      </c>
    </row>
    <row r="19" spans="1:7">
      <c r="A19" s="95" t="s">
        <v>58</v>
      </c>
      <c r="B19" s="100">
        <v>1</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topLeftCell="B1" zoomScale="125" zoomScaleNormal="125" zoomScalePageLayoutView="125" workbookViewId="0">
      <selection activeCell="I12" sqref="I1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2</v>
      </c>
      <c r="G12" s="24" t="s">
        <v>62</v>
      </c>
      <c r="H12" s="7">
        <f>$E11/9*$F12</f>
        <v>16444.444444444445</v>
      </c>
      <c r="I12" s="90">
        <f t="shared" si="1"/>
        <v>16937.777777777777</v>
      </c>
      <c r="J12" s="90">
        <f t="shared" si="1"/>
        <v>17445.911111111112</v>
      </c>
      <c r="K12" s="90">
        <f t="shared" si="1"/>
        <v>17969.288444444446</v>
      </c>
      <c r="L12" s="90">
        <f t="shared" si="1"/>
        <v>18508.36709777778</v>
      </c>
      <c r="M12" s="90">
        <f t="shared" si="1"/>
        <v>19063.618110711115</v>
      </c>
      <c r="N12" s="8">
        <f>SUM( $I$12:$M$12)</f>
        <v>89924.962541822242</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16937.777777777777</v>
      </c>
      <c r="J19" s="48">
        <f>SUM( J11:J18)</f>
        <v>17445.911111111112</v>
      </c>
      <c r="K19" s="48">
        <f>SUM( K11:K18)</f>
        <v>17969.288444444446</v>
      </c>
      <c r="L19" s="48">
        <f>SUM( L11:L18)</f>
        <v>18508.36709777778</v>
      </c>
      <c r="M19" s="48">
        <f>SUM( M11:M18)</f>
        <v>19063.618110711115</v>
      </c>
      <c r="N19" s="48">
        <f>SUM( $I$19:$M$19)</f>
        <v>89924.962541822242</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17595</v>
      </c>
      <c r="J21" s="32">
        <v>17595</v>
      </c>
      <c r="K21" s="32">
        <v>17595</v>
      </c>
      <c r="L21" s="32">
        <v>19551</v>
      </c>
      <c r="M21" s="32">
        <v>20880</v>
      </c>
      <c r="N21" s="71">
        <f>SUM( $I$21:$M$21)</f>
        <v>93216</v>
      </c>
      <c r="P21" s="72" t="s">
        <v>102</v>
      </c>
      <c r="Q21" s="72" t="s">
        <v>103</v>
      </c>
      <c r="R21" s="160"/>
    </row>
    <row r="22" spans="1:18" s="71" customFormat="1">
      <c r="A22" s="73"/>
      <c r="B22" s="73"/>
      <c r="C22" s="74"/>
      <c r="D22" s="70" t="s">
        <v>145</v>
      </c>
      <c r="H22" s="75">
        <v>0</v>
      </c>
      <c r="I22" s="32">
        <v>11730</v>
      </c>
      <c r="J22" s="32">
        <f t="shared" ref="I22:M28" si="2">I22*(1+J$8)</f>
        <v>12081.899992134422</v>
      </c>
      <c r="K22" s="32">
        <f t="shared" si="2"/>
        <v>12444.35698379691</v>
      </c>
      <c r="L22" s="32">
        <f t="shared" si="2"/>
        <v>12817.687684966226</v>
      </c>
      <c r="M22" s="32">
        <f t="shared" si="2"/>
        <v>13202.218306920284</v>
      </c>
      <c r="N22" s="71">
        <f>SUM( $I$22:$M$22)</f>
        <v>62276.162967817843</v>
      </c>
      <c r="P22" s="72" t="s">
        <v>102</v>
      </c>
      <c r="Q22" s="72" t="s">
        <v>88</v>
      </c>
      <c r="R22" s="160"/>
    </row>
    <row r="23" spans="1:18" s="71" customFormat="1">
      <c r="A23" s="76"/>
      <c r="B23" s="76"/>
      <c r="C23" s="77"/>
      <c r="D23" s="66" t="s">
        <v>95</v>
      </c>
      <c r="E23" s="68"/>
      <c r="F23" s="68"/>
      <c r="G23" s="78" t="s">
        <v>15</v>
      </c>
      <c r="H23" s="75">
        <v>0</v>
      </c>
      <c r="I23" s="68">
        <f>SUM(I21:I22)</f>
        <v>29325</v>
      </c>
      <c r="J23" s="68">
        <f>SUM(J21:J22)</f>
        <v>29676.899992134422</v>
      </c>
      <c r="K23" s="68">
        <f>SUM(K21:K22)</f>
        <v>30039.356983796912</v>
      </c>
      <c r="L23" s="68">
        <f>SUM(L21:L22)</f>
        <v>32368.687684966226</v>
      </c>
      <c r="M23" s="68">
        <f>SUM(M21:M22)</f>
        <v>34082.218306920287</v>
      </c>
      <c r="N23" s="68">
        <f>SUM( $I$23:$M$23)</f>
        <v>155492.16296781786</v>
      </c>
      <c r="O23" s="68"/>
      <c r="P23" s="79"/>
      <c r="Q23" s="79"/>
      <c r="R23" s="161"/>
    </row>
    <row r="24" spans="1:18" s="71" customFormat="1">
      <c r="A24" s="73"/>
      <c r="B24" s="73"/>
      <c r="C24" s="74"/>
      <c r="D24" s="70" t="s">
        <v>66</v>
      </c>
      <c r="G24" s="75" t="s">
        <v>16</v>
      </c>
      <c r="H24" s="75">
        <v>0</v>
      </c>
      <c r="I24" s="32">
        <v>39264</v>
      </c>
      <c r="J24" s="32">
        <v>41364</v>
      </c>
      <c r="K24" s="32">
        <v>44340</v>
      </c>
      <c r="L24" s="32">
        <v>39264</v>
      </c>
      <c r="M24" s="32">
        <v>41364</v>
      </c>
      <c r="N24" s="71">
        <f>SUM( $I$24:$M$24)</f>
        <v>205596</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v>6000</v>
      </c>
      <c r="J27" s="32">
        <f t="shared" si="2"/>
        <v>6179.9999959766865</v>
      </c>
      <c r="K27" s="32">
        <f t="shared" si="2"/>
        <v>6365.3999917119745</v>
      </c>
      <c r="L27" s="32">
        <f t="shared" si="2"/>
        <v>6556.3619871950004</v>
      </c>
      <c r="M27" s="32">
        <f t="shared" si="2"/>
        <v>6753.0528424144668</v>
      </c>
      <c r="N27" s="71">
        <f>SUM( $I$27:$M$27)</f>
        <v>31854.814817298124</v>
      </c>
      <c r="P27" s="72" t="s">
        <v>102</v>
      </c>
      <c r="Q27" s="72" t="s">
        <v>88</v>
      </c>
      <c r="R27" s="160"/>
    </row>
    <row r="28" spans="1:18">
      <c r="A28" s="73"/>
      <c r="B28" s="73"/>
      <c r="C28" s="74"/>
      <c r="D28" s="70" t="s">
        <v>147</v>
      </c>
      <c r="E28" s="71"/>
      <c r="F28" s="71"/>
      <c r="G28" s="75" t="s">
        <v>20</v>
      </c>
      <c r="H28" s="75">
        <v>0</v>
      </c>
      <c r="I28" s="32">
        <v>4000</v>
      </c>
      <c r="J28" s="32">
        <f t="shared" si="2"/>
        <v>4119.999997317791</v>
      </c>
      <c r="K28" s="32">
        <f t="shared" si="2"/>
        <v>4243.5999944746491</v>
      </c>
      <c r="L28" s="32">
        <f t="shared" si="2"/>
        <v>4370.907991463333</v>
      </c>
      <c r="M28" s="32">
        <f t="shared" si="2"/>
        <v>4502.0352282763106</v>
      </c>
      <c r="N28" s="71">
        <f>SUM( $I$28:$M$28)</f>
        <v>21236.543211532087</v>
      </c>
      <c r="P28" s="42" t="s">
        <v>102</v>
      </c>
      <c r="Q28" s="42" t="s">
        <v>103</v>
      </c>
    </row>
    <row r="29" spans="1:18">
      <c r="A29" s="47"/>
      <c r="B29" s="47"/>
      <c r="C29" s="48"/>
      <c r="D29" s="66" t="s">
        <v>69</v>
      </c>
      <c r="E29" s="49"/>
      <c r="F29" s="49"/>
      <c r="G29" s="48"/>
      <c r="H29" s="48"/>
      <c r="I29" s="48">
        <f>SUM(I24:I28)+I23+I19</f>
        <v>95526.777777777781</v>
      </c>
      <c r="J29" s="48">
        <f>SUM(J24:J28)+J23+J19</f>
        <v>98786.811096540012</v>
      </c>
      <c r="K29" s="48">
        <f>SUM(K24:K28)+K23+K19</f>
        <v>102957.64541442799</v>
      </c>
      <c r="L29" s="48">
        <f>SUM(L24:L28)+L23+L19</f>
        <v>101068.32476140234</v>
      </c>
      <c r="M29" s="48">
        <f>SUM(M24:M28)+M23+M19</f>
        <v>105764.92448832218</v>
      </c>
      <c r="N29" s="48">
        <f>SUM( $I$29:$M$29)</f>
        <v>504104.48353847029</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15127.793698792657</v>
      </c>
      <c r="J30" s="71">
        <f>(SUMIF($Q10:$Q28,"FF",J10:J28)*J5) + (SUMIF($Q10:$Q28,"PF",J10:J28)*J6) + (SUMIF($Q10:$Q28,"PD",J10:J28)*J7)</f>
        <v>15869.316474705365</v>
      </c>
      <c r="K30" s="71">
        <f>(SUMIF($Q10:$Q28,"FF",K10:K28)*K5) + (SUMIF($Q10:$Q28,"PF",K10:K28)*K6) + (SUMIF($Q10:$Q28,"PD",K10:K28)*K7)</f>
        <v>16886.740939099378</v>
      </c>
      <c r="L30" s="71">
        <f>(SUMIF($Q10:$Q28,"FF",L10:L28)*L5) + (SUMIF($Q10:$Q28,"PF",L10:L28)*L6) + (SUMIF($Q10:$Q28,"PD",L10:L28)*L7)</f>
        <v>15394.608724986845</v>
      </c>
      <c r="M30" s="71">
        <f>(SUMIF($Q10:$Q28,"FF",M10:M28)*M5) + (SUMIF($Q10:$Q28,"PF",M10:M28)*M6) + (SUMIF($Q10:$Q28,"PD",M10:M28)*M7)</f>
        <v>16144.135951593878</v>
      </c>
      <c r="N30" s="81">
        <f>SUM( $I$30:$M$30)</f>
        <v>79422.595789178129</v>
      </c>
      <c r="P30" s="42" t="s">
        <v>102</v>
      </c>
    </row>
    <row r="31" spans="1:18" ht="26" customHeight="1">
      <c r="A31" s="47"/>
      <c r="B31" s="47"/>
      <c r="C31" s="48"/>
      <c r="D31" s="66" t="s">
        <v>71</v>
      </c>
      <c r="E31" s="49"/>
      <c r="F31" s="49"/>
      <c r="G31" s="48"/>
      <c r="H31" s="48"/>
      <c r="I31" s="48">
        <f>SUM(I29+I30)</f>
        <v>110654.57147657043</v>
      </c>
      <c r="J31" s="48">
        <f>SUM(J29+J30)</f>
        <v>114656.12757124538</v>
      </c>
      <c r="K31" s="48">
        <f>SUM(K29+K30)</f>
        <v>119844.38635352737</v>
      </c>
      <c r="L31" s="48">
        <f>SUM(L29+L30)</f>
        <v>116462.93348638919</v>
      </c>
      <c r="M31" s="48">
        <f>SUM(M29+M30)</f>
        <v>121909.06043991607</v>
      </c>
      <c r="N31" s="48">
        <f>SUM( $I$31:$M$31)</f>
        <v>583527.07932764839</v>
      </c>
      <c r="O31" s="48"/>
      <c r="P31" s="53"/>
      <c r="Q31" s="53"/>
      <c r="R31" s="157"/>
    </row>
    <row r="32" spans="1:18">
      <c r="A32" s="39" t="s">
        <v>105</v>
      </c>
      <c r="B32" s="39"/>
      <c r="C32" s="40" t="s">
        <v>72</v>
      </c>
      <c r="G32" s="80">
        <v>721100</v>
      </c>
      <c r="H32" s="80">
        <v>0</v>
      </c>
      <c r="I32" s="90">
        <v>16926</v>
      </c>
      <c r="J32" s="90">
        <v>0</v>
      </c>
      <c r="K32" s="90">
        <v>0</v>
      </c>
      <c r="L32" s="90">
        <v>21117</v>
      </c>
      <c r="M32" s="90">
        <v>22670</v>
      </c>
      <c r="N32" s="40">
        <f>SUM( $I$32:$M$32)</f>
        <v>60713</v>
      </c>
      <c r="P32" s="42" t="s">
        <v>106</v>
      </c>
    </row>
    <row r="33" spans="1:18">
      <c r="A33" s="39" t="s">
        <v>105</v>
      </c>
      <c r="B33" s="39"/>
      <c r="C33" s="40" t="s">
        <v>73</v>
      </c>
      <c r="G33" s="80">
        <v>740000</v>
      </c>
      <c r="H33" s="80">
        <v>0</v>
      </c>
      <c r="I33" s="90">
        <v>50000</v>
      </c>
      <c r="J33" s="90">
        <v>20000</v>
      </c>
      <c r="K33" s="90">
        <v>20000</v>
      </c>
      <c r="L33" s="90">
        <v>0</v>
      </c>
      <c r="M33" s="90">
        <v>0</v>
      </c>
      <c r="N33" s="40">
        <f>SUM( $I$33:$M$33)</f>
        <v>90000</v>
      </c>
      <c r="P33" s="42" t="s">
        <v>106</v>
      </c>
    </row>
    <row r="34" spans="1:18">
      <c r="A34" s="91" t="s">
        <v>105</v>
      </c>
      <c r="B34" s="91"/>
      <c r="C34" s="40" t="s">
        <v>74</v>
      </c>
      <c r="G34" s="80">
        <v>710000</v>
      </c>
      <c r="H34" s="80">
        <v>0</v>
      </c>
      <c r="I34" s="90">
        <v>4000</v>
      </c>
      <c r="J34" s="90">
        <v>8000</v>
      </c>
      <c r="K34" s="90">
        <v>8000</v>
      </c>
      <c r="L34" s="90">
        <v>8000</v>
      </c>
      <c r="M34" s="90">
        <v>8000</v>
      </c>
      <c r="N34" s="40">
        <f>SUM( $I$34:$M$34)</f>
        <v>36000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65000</v>
      </c>
      <c r="J36" s="90">
        <v>100000</v>
      </c>
      <c r="K36" s="90">
        <v>95000</v>
      </c>
      <c r="L36" s="90">
        <v>95000</v>
      </c>
      <c r="M36" s="90">
        <v>90000</v>
      </c>
      <c r="N36" s="40">
        <f>SUM( $I$36:$M$36)</f>
        <v>445000</v>
      </c>
      <c r="P36" s="42" t="s">
        <v>102</v>
      </c>
    </row>
    <row r="37" spans="1:18">
      <c r="A37" s="91" t="s">
        <v>105</v>
      </c>
      <c r="B37" s="91"/>
      <c r="D37" s="40" t="s">
        <v>97</v>
      </c>
      <c r="G37" s="80">
        <v>711200</v>
      </c>
      <c r="H37" s="80">
        <v>0</v>
      </c>
      <c r="I37" s="90">
        <v>4000</v>
      </c>
      <c r="J37" s="90">
        <v>4000</v>
      </c>
      <c r="K37" s="90">
        <v>4000</v>
      </c>
      <c r="L37" s="90">
        <v>4000</v>
      </c>
      <c r="M37" s="90">
        <v>4000</v>
      </c>
      <c r="N37" s="40">
        <f>SUM( $I$37:$M$37)</f>
        <v>20000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250580.57147657045</v>
      </c>
      <c r="J47" s="48">
        <f t="shared" si="3"/>
        <v>246656.12757124536</v>
      </c>
      <c r="K47" s="48">
        <f t="shared" si="3"/>
        <v>246844.38635352737</v>
      </c>
      <c r="L47" s="48">
        <f t="shared" si="3"/>
        <v>244579.93348638917</v>
      </c>
      <c r="M47" s="48">
        <f t="shared" si="3"/>
        <v>246579.06043991607</v>
      </c>
      <c r="N47" s="48">
        <f>SUM( $I$47:$M$47)</f>
        <v>1235240.0793276485</v>
      </c>
      <c r="O47" s="48"/>
      <c r="P47" s="53"/>
      <c r="Q47" s="53"/>
      <c r="R47" s="157"/>
    </row>
    <row r="48" spans="1:18" s="108" customFormat="1" ht="15.75" customHeight="1">
      <c r="D48" s="108" t="s">
        <v>11</v>
      </c>
      <c r="E48" s="109"/>
      <c r="F48" s="109"/>
      <c r="H48" s="108">
        <f t="shared" ref="H48:M48" si="4">SUMIF($P$10:$P$46,"Y",H10:H46)</f>
        <v>16444.444444444445</v>
      </c>
      <c r="I48" s="108">
        <f t="shared" si="4"/>
        <v>183654.57147657045</v>
      </c>
      <c r="J48" s="108">
        <f t="shared" si="4"/>
        <v>226656.12757124536</v>
      </c>
      <c r="K48" s="108">
        <f t="shared" si="4"/>
        <v>226844.38635352737</v>
      </c>
      <c r="L48" s="108">
        <f t="shared" si="4"/>
        <v>223462.93348638917</v>
      </c>
      <c r="M48" s="108">
        <f t="shared" si="4"/>
        <v>223909.06043991607</v>
      </c>
      <c r="N48" s="108">
        <f>SUM( $I$48:$M$48)</f>
        <v>1084527.0793276485</v>
      </c>
      <c r="P48" s="109"/>
      <c r="Q48" s="109"/>
      <c r="R48" s="162"/>
    </row>
    <row r="49" spans="1:18" ht="27.75" customHeight="1">
      <c r="C49" s="40" t="s">
        <v>77</v>
      </c>
      <c r="G49" s="80"/>
      <c r="H49" s="40">
        <f t="shared" ref="H49:M49" si="5">H4*H48</f>
        <v>0</v>
      </c>
      <c r="I49" s="40">
        <f t="shared" si="5"/>
        <v>87235.920356704417</v>
      </c>
      <c r="J49" s="40">
        <f t="shared" si="5"/>
        <v>107661.65924536575</v>
      </c>
      <c r="K49" s="40">
        <f t="shared" si="5"/>
        <v>107751.0821658276</v>
      </c>
      <c r="L49" s="40">
        <f t="shared" si="5"/>
        <v>106144.89207409199</v>
      </c>
      <c r="M49" s="40">
        <f t="shared" si="5"/>
        <v>106356.80237435813</v>
      </c>
      <c r="N49" s="40">
        <f>SUM( $I$49:$M$49)</f>
        <v>515150.35621634789</v>
      </c>
    </row>
    <row r="50" spans="1:18" ht="32" customHeight="1">
      <c r="A50" s="48"/>
      <c r="B50" s="48"/>
      <c r="C50" s="48"/>
      <c r="D50" s="48" t="s">
        <v>12</v>
      </c>
      <c r="E50" s="49"/>
      <c r="F50" s="49"/>
      <c r="G50" s="48"/>
      <c r="H50" s="48">
        <f t="shared" ref="H50:M50" si="6">SUM(H49+H47)</f>
        <v>0</v>
      </c>
      <c r="I50" s="48">
        <f t="shared" si="6"/>
        <v>337816.49183327483</v>
      </c>
      <c r="J50" s="48">
        <f t="shared" si="6"/>
        <v>354317.78681661113</v>
      </c>
      <c r="K50" s="48">
        <f t="shared" si="6"/>
        <v>354595.46851935494</v>
      </c>
      <c r="L50" s="48">
        <f t="shared" si="6"/>
        <v>350724.82556048117</v>
      </c>
      <c r="M50" s="48">
        <f t="shared" si="6"/>
        <v>352935.86281427421</v>
      </c>
      <c r="N50" s="48">
        <f>SUM( $I$50:$M$50)</f>
        <v>1750390.4355439963</v>
      </c>
      <c r="O50" s="48"/>
      <c r="P50" s="53"/>
      <c r="Q50" s="53"/>
      <c r="R50" s="157"/>
    </row>
    <row r="51" spans="1:18" ht="29" customHeight="1">
      <c r="C51" s="40" t="s">
        <v>14</v>
      </c>
      <c r="E51" s="80"/>
      <c r="F51" s="80"/>
      <c r="I51" s="40">
        <v>0</v>
      </c>
      <c r="J51" s="40">
        <v>0</v>
      </c>
      <c r="K51" s="40">
        <v>0</v>
      </c>
      <c r="L51" s="40">
        <v>0</v>
      </c>
      <c r="M51" s="40">
        <v>0</v>
      </c>
      <c r="N51" s="40">
        <f>SUM( $I$51:$M$51)</f>
        <v>0</v>
      </c>
    </row>
    <row r="52" spans="1:18">
      <c r="C52" s="40" t="s">
        <v>13</v>
      </c>
      <c r="I52" s="40">
        <v>0</v>
      </c>
      <c r="J52" s="40">
        <v>0</v>
      </c>
      <c r="K52" s="40">
        <v>0</v>
      </c>
      <c r="L52" s="40">
        <v>0</v>
      </c>
      <c r="M52" s="40">
        <v>0</v>
      </c>
      <c r="N52" s="40">
        <v>0</v>
      </c>
    </row>
    <row r="53" spans="1:18" ht="29" customHeight="1">
      <c r="A53" s="48"/>
      <c r="B53" s="48"/>
      <c r="C53" s="48"/>
      <c r="D53" s="48" t="s">
        <v>78</v>
      </c>
      <c r="E53" s="49"/>
      <c r="F53" s="49"/>
      <c r="G53" s="48"/>
      <c r="H53" s="48">
        <f t="shared" ref="H53:M53" si="7">SUM(H52+H51+H50)</f>
        <v>0</v>
      </c>
      <c r="I53" s="48">
        <f t="shared" si="7"/>
        <v>337816.49183327483</v>
      </c>
      <c r="J53" s="48">
        <f t="shared" si="7"/>
        <v>354317.78681661113</v>
      </c>
      <c r="K53" s="48">
        <f t="shared" si="7"/>
        <v>354595.46851935494</v>
      </c>
      <c r="L53" s="48">
        <f t="shared" si="7"/>
        <v>350724.82556048117</v>
      </c>
      <c r="M53" s="48">
        <f t="shared" si="7"/>
        <v>352935.86281427421</v>
      </c>
      <c r="N53" s="48">
        <f>SUM( $I$53:$M$53)</f>
        <v>1750390.4355439963</v>
      </c>
      <c r="O53" s="48"/>
      <c r="P53" s="53"/>
      <c r="Q53" s="53"/>
      <c r="R53" s="157"/>
    </row>
    <row r="59" spans="1:18">
      <c r="A59" s="64"/>
      <c r="B59" s="64"/>
      <c r="C59" s="64"/>
      <c r="D59" s="64"/>
    </row>
  </sheetData>
  <sheetProtection password="E81C"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workbookViewId="0">
      <selection activeCell="F14" sqref="F14"/>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197</v>
      </c>
      <c r="E13" s="89">
        <v>74000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1: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1:17">
      <c r="B50" s="48"/>
      <c r="C50" s="48"/>
      <c r="D50" s="48" t="s">
        <v>193</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0</v>
      </c>
      <c r="J53" s="48">
        <f>SUM(J50:J52)</f>
        <v>0</v>
      </c>
      <c r="K53" s="48">
        <f>SUM(K50:K52)</f>
        <v>0</v>
      </c>
      <c r="L53" s="48">
        <f>SUM(L50:L52)</f>
        <v>0</v>
      </c>
      <c r="M53" s="48">
        <f>SUM(M50:M52)</f>
        <v>0</v>
      </c>
      <c r="N53" s="48">
        <f>SUM( I53:M53)</f>
        <v>0</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2015-02-02T11:22:12Z</dcterms:modified>
</cp:coreProperties>
</file>